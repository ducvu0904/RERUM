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novo\Documents\Neu 2025-2026\Lab\report\"/>
    </mc:Choice>
  </mc:AlternateContent>
  <xr:revisionPtr revIDLastSave="0" documentId="13_ncr:1_{15F71329-C523-4C57-9D6B-A3F8161AC5FD}" xr6:coauthVersionLast="47" xr6:coauthVersionMax="47" xr10:uidLastSave="{00000000-0000-0000-0000-000000000000}"/>
  <bookViews>
    <workbookView xWindow="-11616" yWindow="0" windowWidth="11712" windowHeight="12336" xr2:uid="{19AF2F44-024A-4878-94A7-2B514BDCB01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3" i="1" l="1"/>
  <c r="G19" i="1"/>
  <c r="H23" i="1"/>
  <c r="G23" i="1"/>
  <c r="F23" i="1"/>
  <c r="I56" i="1"/>
  <c r="H56" i="1"/>
  <c r="G56" i="1"/>
  <c r="F56" i="1"/>
  <c r="E56" i="1"/>
  <c r="D56" i="1"/>
  <c r="C56" i="1"/>
  <c r="B56" i="1"/>
  <c r="B38" i="1"/>
  <c r="F40" i="1" s="1"/>
  <c r="C38" i="1"/>
  <c r="D38" i="1"/>
  <c r="E38" i="1"/>
  <c r="G38" i="1"/>
  <c r="H38" i="1"/>
  <c r="I38" i="1"/>
  <c r="F38" i="1"/>
  <c r="C19" i="1"/>
  <c r="D19" i="1"/>
  <c r="E19" i="1"/>
  <c r="F19" i="1"/>
  <c r="H19" i="1"/>
  <c r="I19" i="1"/>
  <c r="B19" i="1"/>
  <c r="F22" i="1" l="1"/>
  <c r="H22" i="1"/>
  <c r="G22" i="1"/>
  <c r="G40" i="1"/>
  <c r="I58" i="1"/>
  <c r="F58" i="1"/>
  <c r="G58" i="1"/>
  <c r="H40" i="1"/>
  <c r="H58" i="1"/>
  <c r="I40" i="1"/>
  <c r="I22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0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</futureMetadata>
  <valueMetadata count="10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</valueMetadata>
</metadata>
</file>

<file path=xl/sharedStrings.xml><?xml version="1.0" encoding="utf-8"?>
<sst xmlns="http://schemas.openxmlformats.org/spreadsheetml/2006/main" count="44" uniqueCount="15">
  <si>
    <t>Seed</t>
  </si>
  <si>
    <t>Baseline</t>
  </si>
  <si>
    <t>RERUM</t>
  </si>
  <si>
    <t>AUUC</t>
  </si>
  <si>
    <t>AUQC</t>
  </si>
  <si>
    <t>LIFT@30</t>
  </si>
  <si>
    <t>KRCC</t>
  </si>
  <si>
    <t>Trung bình</t>
  </si>
  <si>
    <t>Tỉ lệ tăng</t>
  </si>
  <si>
    <t>alpha, beta = 1.0, ranking_lambda = 1.0, response_ranking loss = 1e-4, epochs = 100, lr =0.001</t>
  </si>
  <si>
    <t>Women</t>
  </si>
  <si>
    <t>Paper</t>
  </si>
  <si>
    <t>alpha, beta = 1.0, ranking_lambda = 10.0,  epochs = 100, lr =0.001</t>
  </si>
  <si>
    <t>Tỉ lệ tăng của RERUM so với Baseline trong paper</t>
  </si>
  <si>
    <t>Tỉ lệ tăng của RERUM so với Baseline code của 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</si>
</sst>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0"/>
        <bgColor theme="5" tint="0.79998168889431442"/>
      </patternFill>
    </fill>
  </fills>
  <borders count="9">
    <border>
      <left/>
      <right/>
      <top/>
      <bottom/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 style="thin">
        <color theme="5" tint="0.39997558519241921"/>
      </right>
      <top style="thin">
        <color theme="5" tint="0.39997558519241921"/>
      </top>
      <bottom style="thin">
        <color theme="5" tint="0.39997558519241921"/>
      </bottom>
      <diagonal/>
    </border>
    <border>
      <left style="thin">
        <color theme="5" tint="0.39997558519241921"/>
      </left>
      <right/>
      <top style="thin">
        <color theme="5" tint="0.39997558519241921"/>
      </top>
      <bottom/>
      <diagonal/>
    </border>
    <border>
      <left/>
      <right/>
      <top style="thin">
        <color theme="5" tint="0.39997558519241921"/>
      </top>
      <bottom/>
      <diagonal/>
    </border>
    <border>
      <left/>
      <right style="thin">
        <color theme="5" tint="0.39997558519241921"/>
      </right>
      <top style="thin">
        <color theme="5" tint="0.39997558519241921"/>
      </top>
      <bottom/>
      <diagonal/>
    </border>
    <border>
      <left style="thin">
        <color theme="5" tint="0.39997558519241921"/>
      </left>
      <right/>
      <top/>
      <bottom/>
      <diagonal/>
    </border>
    <border>
      <left/>
      <right/>
      <top/>
      <bottom style="thin">
        <color theme="5" tint="0.39997558519241921"/>
      </bottom>
      <diagonal/>
    </border>
    <border>
      <left style="thin">
        <color theme="5" tint="0.39997558519241921"/>
      </left>
      <right/>
      <top style="thin">
        <color theme="5" tint="0.39997558519241921"/>
      </top>
      <bottom style="thin">
        <color theme="5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8">
    <xf numFmtId="0" fontId="0" fillId="0" borderId="0" xfId="0"/>
    <xf numFmtId="0" fontId="0" fillId="0" borderId="0" xfId="0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vertical="center"/>
    </xf>
    <xf numFmtId="0" fontId="0" fillId="3" borderId="1" xfId="0" applyFill="1" applyBorder="1" applyAlignment="1">
      <alignment horizontal="center" vertical="center"/>
    </xf>
    <xf numFmtId="10" fontId="0" fillId="3" borderId="1" xfId="1" applyNumberFormat="1" applyFont="1" applyFill="1" applyBorder="1" applyAlignment="1">
      <alignment horizontal="center" vertical="center"/>
    </xf>
    <xf numFmtId="10" fontId="0" fillId="3" borderId="2" xfId="1" applyNumberFormat="1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0" fontId="0" fillId="3" borderId="4" xfId="1" applyNumberFormat="1" applyFont="1" applyFill="1" applyBorder="1" applyAlignment="1">
      <alignment horizontal="center" vertical="center"/>
    </xf>
    <xf numFmtId="10" fontId="0" fillId="3" borderId="5" xfId="1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 vertical="center"/>
    </xf>
    <xf numFmtId="0" fontId="0" fillId="2" borderId="3" xfId="0" applyFont="1" applyFill="1" applyBorder="1" applyAlignment="1">
      <alignment horizontal="center" vertical="center"/>
    </xf>
    <xf numFmtId="0" fontId="0" fillId="2" borderId="4" xfId="0" applyFont="1" applyFill="1" applyBorder="1" applyAlignment="1">
      <alignment horizontal="center" vertical="center"/>
    </xf>
    <xf numFmtId="0" fontId="0" fillId="2" borderId="5" xfId="0" applyFont="1" applyFill="1" applyBorder="1" applyAlignment="1">
      <alignment horizontal="center" vertical="center"/>
    </xf>
    <xf numFmtId="0" fontId="0" fillId="0" borderId="3" xfId="0" applyFont="1" applyBorder="1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0" fontId="0" fillId="0" borderId="5" xfId="0" applyFont="1" applyBorder="1" applyAlignment="1">
      <alignment horizontal="center" vertical="center"/>
    </xf>
    <xf numFmtId="0" fontId="0" fillId="0" borderId="3" xfId="0" applyFont="1" applyBorder="1"/>
    <xf numFmtId="0" fontId="0" fillId="0" borderId="4" xfId="0" applyFont="1" applyBorder="1"/>
    <xf numFmtId="0" fontId="0" fillId="0" borderId="5" xfId="0" applyFont="1" applyBorder="1"/>
    <xf numFmtId="0" fontId="0" fillId="3" borderId="3" xfId="0" applyFont="1" applyFill="1" applyBorder="1" applyAlignment="1">
      <alignment horizontal="center" vertical="center"/>
    </xf>
    <xf numFmtId="0" fontId="0" fillId="3" borderId="4" xfId="0" applyFont="1" applyFill="1" applyBorder="1" applyAlignment="1">
      <alignment horizontal="center" vertical="center"/>
    </xf>
    <xf numFmtId="0" fontId="0" fillId="0" borderId="8" xfId="0" applyFont="1" applyBorder="1" applyAlignment="1">
      <alignment horizontal="center" vertical="center"/>
    </xf>
    <xf numFmtId="0" fontId="0" fillId="3" borderId="1" xfId="0" applyFont="1" applyFill="1" applyBorder="1" applyAlignment="1">
      <alignment horizontal="center" vertical="center"/>
    </xf>
    <xf numFmtId="0" fontId="0" fillId="3" borderId="1" xfId="0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center" vertical="center"/>
    </xf>
    <xf numFmtId="0" fontId="0" fillId="2" borderId="2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13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12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11" Type="http://schemas.openxmlformats.org/officeDocument/2006/relationships/customXml" Target="../customXml/item1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0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84611-8698-44BC-B179-3550E911E625}">
  <dimension ref="A1:M58"/>
  <sheetViews>
    <sheetView tabSelected="1" topLeftCell="A4" workbookViewId="0">
      <selection activeCell="A8" sqref="A8"/>
    </sheetView>
  </sheetViews>
  <sheetFormatPr defaultRowHeight="14.4" x14ac:dyDescent="0.3"/>
  <cols>
    <col min="1" max="8" width="10.88671875" style="1" customWidth="1"/>
    <col min="9" max="9" width="20.5546875" style="1" customWidth="1"/>
    <col min="10" max="10" width="34.21875" customWidth="1"/>
    <col min="11" max="11" width="10.77734375" customWidth="1"/>
  </cols>
  <sheetData>
    <row r="1" spans="1:13" x14ac:dyDescent="0.3">
      <c r="A1"/>
      <c r="B1"/>
      <c r="C1"/>
      <c r="D1"/>
      <c r="E1"/>
      <c r="F1"/>
      <c r="G1"/>
      <c r="H1"/>
      <c r="I1"/>
    </row>
    <row r="2" spans="1:13" x14ac:dyDescent="0.3">
      <c r="A2"/>
      <c r="B2"/>
      <c r="C2"/>
      <c r="D2"/>
      <c r="E2"/>
      <c r="F2"/>
      <c r="G2"/>
      <c r="H2"/>
      <c r="I2"/>
    </row>
    <row r="3" spans="1:13" x14ac:dyDescent="0.3">
      <c r="A3" s="16" t="s">
        <v>9</v>
      </c>
      <c r="B3" s="16"/>
      <c r="C3" s="16"/>
      <c r="D3" s="16"/>
      <c r="E3" s="16"/>
      <c r="F3" s="16"/>
      <c r="G3" s="16"/>
      <c r="H3" s="16"/>
      <c r="I3" s="16"/>
    </row>
    <row r="4" spans="1:13" x14ac:dyDescent="0.3">
      <c r="A4"/>
      <c r="B4"/>
      <c r="C4"/>
      <c r="D4"/>
      <c r="E4"/>
      <c r="F4"/>
      <c r="G4"/>
      <c r="H4"/>
      <c r="I4"/>
      <c r="J4" s="19"/>
      <c r="K4" s="20"/>
      <c r="L4" s="20"/>
      <c r="M4" s="20"/>
    </row>
    <row r="5" spans="1:13" x14ac:dyDescent="0.3">
      <c r="A5"/>
      <c r="B5"/>
      <c r="C5"/>
      <c r="D5"/>
      <c r="E5"/>
      <c r="F5"/>
      <c r="G5"/>
      <c r="H5"/>
      <c r="I5"/>
      <c r="J5" s="6"/>
      <c r="K5" s="6"/>
      <c r="L5" s="6"/>
      <c r="M5" s="7"/>
    </row>
    <row r="6" spans="1:13" x14ac:dyDescent="0.3">
      <c r="A6" s="22"/>
      <c r="B6" s="36" t="s">
        <v>1</v>
      </c>
      <c r="C6" s="36"/>
      <c r="D6" s="36"/>
      <c r="E6" s="36"/>
      <c r="F6" s="36" t="s">
        <v>2</v>
      </c>
      <c r="G6" s="36"/>
      <c r="H6" s="36"/>
      <c r="I6" s="37"/>
    </row>
    <row r="7" spans="1:13" s="3" customFormat="1" ht="19.2" customHeight="1" x14ac:dyDescent="0.3">
      <c r="A7" s="25" t="s">
        <v>0</v>
      </c>
      <c r="B7" s="26" t="s">
        <v>3</v>
      </c>
      <c r="C7" s="26" t="s">
        <v>4</v>
      </c>
      <c r="D7" s="26" t="s">
        <v>5</v>
      </c>
      <c r="E7" s="26" t="s">
        <v>6</v>
      </c>
      <c r="F7" s="26" t="s">
        <v>3</v>
      </c>
      <c r="G7" s="26" t="s">
        <v>4</v>
      </c>
      <c r="H7" s="26" t="s">
        <v>5</v>
      </c>
      <c r="I7" s="27" t="s">
        <v>6</v>
      </c>
      <c r="J7" s="3" t="e" vm="1">
        <v>#VALUE!</v>
      </c>
    </row>
    <row r="8" spans="1:13" s="1" customFormat="1" ht="19.2" customHeight="1" x14ac:dyDescent="0.3">
      <c r="A8" s="22">
        <v>831712</v>
      </c>
      <c r="B8" s="23">
        <v>0.60699999999999998</v>
      </c>
      <c r="C8" s="23">
        <v>0.61299999999999999</v>
      </c>
      <c r="D8" s="23">
        <v>1.47</v>
      </c>
      <c r="E8" s="23">
        <v>0.10199999999999999</v>
      </c>
      <c r="F8" s="23">
        <v>0.41</v>
      </c>
      <c r="G8" s="23">
        <v>0.40899999999999997</v>
      </c>
      <c r="H8" s="23">
        <v>0.623</v>
      </c>
      <c r="I8" s="24">
        <v>-5.2999999999999999E-2</v>
      </c>
      <c r="J8" s="1" t="e" vm="2">
        <v>#VALUE!</v>
      </c>
    </row>
    <row r="9" spans="1:13" s="3" customFormat="1" ht="19.2" customHeight="1" x14ac:dyDescent="0.3">
      <c r="A9" s="25">
        <v>977951</v>
      </c>
      <c r="B9" s="26">
        <v>0.56699999999999995</v>
      </c>
      <c r="C9" s="26">
        <v>0.57099999999999995</v>
      </c>
      <c r="D9" s="26">
        <v>1.262</v>
      </c>
      <c r="E9" s="26">
        <v>5.1999999999999998E-2</v>
      </c>
      <c r="F9" s="26">
        <v>0.58699999999999997</v>
      </c>
      <c r="G9" s="26">
        <v>0.59</v>
      </c>
      <c r="H9" s="26">
        <v>1.2130000000000001</v>
      </c>
      <c r="I9" s="27">
        <v>0.108</v>
      </c>
      <c r="J9" s="3" t="e" vm="3">
        <v>#VALUE!</v>
      </c>
    </row>
    <row r="10" spans="1:13" s="1" customFormat="1" ht="19.2" customHeight="1" x14ac:dyDescent="0.3">
      <c r="A10" s="22">
        <v>594033</v>
      </c>
      <c r="B10" s="23">
        <v>0.54300000000000004</v>
      </c>
      <c r="C10" s="23">
        <v>0.55000000000000004</v>
      </c>
      <c r="D10" s="23">
        <v>1.03</v>
      </c>
      <c r="E10" s="23">
        <v>7.0000000000000007E-2</v>
      </c>
      <c r="F10" s="23">
        <v>0.68400000000000005</v>
      </c>
      <c r="G10" s="23">
        <v>0.68300000000000005</v>
      </c>
      <c r="H10" s="23">
        <v>1.7869999999999999</v>
      </c>
      <c r="I10" s="24">
        <v>0.14299999999999999</v>
      </c>
      <c r="J10" s="1" t="e" vm="4">
        <v>#VALUE!</v>
      </c>
    </row>
    <row r="11" spans="1:13" s="3" customFormat="1" ht="19.2" customHeight="1" x14ac:dyDescent="0.3">
      <c r="A11" s="25">
        <v>199980</v>
      </c>
      <c r="B11" s="26">
        <v>0.58699999999999997</v>
      </c>
      <c r="C11" s="26">
        <v>0.59199999999999997</v>
      </c>
      <c r="D11" s="26">
        <v>1.5189999999999999</v>
      </c>
      <c r="E11" s="26">
        <v>9.4E-2</v>
      </c>
      <c r="F11" s="26">
        <v>0.6</v>
      </c>
      <c r="G11" s="26">
        <v>0.60099999999999998</v>
      </c>
      <c r="H11" s="26">
        <v>1.3049999999999999</v>
      </c>
      <c r="I11" s="27">
        <v>9.8000000000000004E-2</v>
      </c>
      <c r="J11" s="3" t="e" vm="5">
        <v>#VALUE!</v>
      </c>
    </row>
    <row r="12" spans="1:13" s="1" customFormat="1" ht="19.2" customHeight="1" x14ac:dyDescent="0.3">
      <c r="A12" s="22">
        <v>1</v>
      </c>
      <c r="B12" s="23">
        <v>0.52249999999999996</v>
      </c>
      <c r="C12" s="23">
        <v>0.52510000000000001</v>
      </c>
      <c r="D12" s="23">
        <v>1.0389999999999999</v>
      </c>
      <c r="E12" s="23">
        <v>3.0000000000000001E-3</v>
      </c>
      <c r="F12" s="23">
        <v>0.68700000000000006</v>
      </c>
      <c r="G12" s="23">
        <v>0.68400000000000005</v>
      </c>
      <c r="H12" s="23">
        <v>1.79</v>
      </c>
      <c r="I12" s="24">
        <v>0.151</v>
      </c>
      <c r="J12" s="1" t="e" vm="6">
        <v>#VALUE!</v>
      </c>
    </row>
    <row r="13" spans="1:13" s="3" customFormat="1" ht="19.2" customHeight="1" x14ac:dyDescent="0.3">
      <c r="A13" s="25">
        <v>141726</v>
      </c>
      <c r="B13" s="26">
        <v>0.55800000000000005</v>
      </c>
      <c r="C13" s="26">
        <v>0.56299999999999994</v>
      </c>
      <c r="D13" s="26">
        <v>1.0189999999999999</v>
      </c>
      <c r="E13" s="26">
        <v>7.4999999999999997E-2</v>
      </c>
      <c r="F13" s="26">
        <v>0.58799999999999997</v>
      </c>
      <c r="G13" s="26">
        <v>0.59</v>
      </c>
      <c r="H13" s="26">
        <v>1.2889999999999999</v>
      </c>
      <c r="I13" s="27">
        <v>7.6899999999999996E-2</v>
      </c>
      <c r="J13" s="3" t="e" vm="7">
        <v>#VALUE!</v>
      </c>
    </row>
    <row r="14" spans="1:13" s="1" customFormat="1" ht="19.2" customHeight="1" x14ac:dyDescent="0.3">
      <c r="A14" s="22">
        <v>938053</v>
      </c>
      <c r="B14" s="23">
        <v>0.54700000000000004</v>
      </c>
      <c r="C14" s="23">
        <v>0.54900000000000004</v>
      </c>
      <c r="D14" s="23">
        <v>1.21</v>
      </c>
      <c r="E14" s="23">
        <v>6.7000000000000004E-2</v>
      </c>
      <c r="F14" s="23">
        <v>0.60699999999999998</v>
      </c>
      <c r="G14" s="23">
        <v>0.60599999999999998</v>
      </c>
      <c r="H14" s="23">
        <v>1.34</v>
      </c>
      <c r="I14" s="24">
        <v>7.6E-3</v>
      </c>
      <c r="J14" s="1" t="e" vm="8">
        <v>#VALUE!</v>
      </c>
    </row>
    <row r="15" spans="1:13" s="3" customFormat="1" ht="19.2" customHeight="1" x14ac:dyDescent="0.3">
      <c r="A15" s="25">
        <v>774032</v>
      </c>
      <c r="B15" s="26">
        <v>0.57499999999999996</v>
      </c>
      <c r="C15" s="26">
        <v>0.58099999999999996</v>
      </c>
      <c r="D15" s="26">
        <v>1.107</v>
      </c>
      <c r="E15" s="26">
        <v>8.8999999999999996E-2</v>
      </c>
      <c r="F15" s="26">
        <v>0.58499999999999996</v>
      </c>
      <c r="G15" s="26">
        <v>0.58799999999999997</v>
      </c>
      <c r="H15" s="26">
        <v>1.1830000000000001</v>
      </c>
      <c r="I15" s="27">
        <v>5.6000000000000001E-2</v>
      </c>
      <c r="J15" s="3" t="e" vm="9">
        <v>#VALUE!</v>
      </c>
    </row>
    <row r="16" spans="1:13" s="1" customFormat="1" ht="19.2" customHeight="1" x14ac:dyDescent="0.3">
      <c r="A16" s="22">
        <v>869843</v>
      </c>
      <c r="B16" s="23">
        <v>0.51200000000000001</v>
      </c>
      <c r="C16" s="23">
        <v>0.51400000000000001</v>
      </c>
      <c r="D16" s="23">
        <v>1.252</v>
      </c>
      <c r="E16" s="23">
        <v>-7.0000000000000001E-3</v>
      </c>
      <c r="F16" s="23">
        <v>0.57499999999999996</v>
      </c>
      <c r="G16" s="23">
        <v>0.57699999999999996</v>
      </c>
      <c r="H16" s="23">
        <v>1.4219999999999999</v>
      </c>
      <c r="I16" s="24">
        <v>0.10299999999999999</v>
      </c>
      <c r="J16" s="1" t="e" vm="10">
        <v>#VALUE!</v>
      </c>
    </row>
    <row r="17" spans="1:13" x14ac:dyDescent="0.3">
      <c r="A17" s="25">
        <v>117230</v>
      </c>
      <c r="B17" s="26">
        <v>0.496</v>
      </c>
      <c r="C17" s="26">
        <v>0.498</v>
      </c>
      <c r="D17" s="26">
        <v>1.2589999999999999</v>
      </c>
      <c r="E17" s="26">
        <v>2.5000000000000001E-2</v>
      </c>
      <c r="F17" s="26">
        <v>0.51600000000000001</v>
      </c>
      <c r="G17" s="26">
        <v>0.51600000000000001</v>
      </c>
      <c r="H17" s="26">
        <v>0.81499999999999995</v>
      </c>
      <c r="I17" s="27">
        <v>3.2000000000000001E-2</v>
      </c>
    </row>
    <row r="18" spans="1:13" x14ac:dyDescent="0.3">
      <c r="A18" s="22"/>
      <c r="B18" s="23"/>
      <c r="C18" s="23"/>
      <c r="D18" s="23"/>
      <c r="E18" s="23"/>
      <c r="F18" s="23"/>
      <c r="G18" s="23"/>
      <c r="H18" s="23"/>
      <c r="I18" s="24"/>
    </row>
    <row r="19" spans="1:13" x14ac:dyDescent="0.3">
      <c r="A19" s="25" t="s">
        <v>7</v>
      </c>
      <c r="B19" s="26">
        <f>MEDIAN(B8:B17)</f>
        <v>0.55249999999999999</v>
      </c>
      <c r="C19" s="26">
        <f t="shared" ref="C19:I19" si="0">MEDIAN(C8:C17)</f>
        <v>0.55649999999999999</v>
      </c>
      <c r="D19" s="26">
        <f t="shared" si="0"/>
        <v>1.2309999999999999</v>
      </c>
      <c r="E19" s="26">
        <f t="shared" si="0"/>
        <v>6.8500000000000005E-2</v>
      </c>
      <c r="F19" s="26">
        <f t="shared" si="0"/>
        <v>0.58749999999999991</v>
      </c>
      <c r="G19" s="26">
        <f>MEDIAN(G8:G17)</f>
        <v>0.59</v>
      </c>
      <c r="H19" s="26">
        <f t="shared" si="0"/>
        <v>1.2969999999999999</v>
      </c>
      <c r="I19" s="27">
        <f t="shared" si="0"/>
        <v>8.745E-2</v>
      </c>
    </row>
    <row r="20" spans="1:13" x14ac:dyDescent="0.3">
      <c r="A20" s="22" t="s">
        <v>11</v>
      </c>
      <c r="B20" s="23">
        <v>0.6028</v>
      </c>
      <c r="C20" s="23">
        <v>0.60419999999999996</v>
      </c>
      <c r="D20" s="23">
        <v>1.3526</v>
      </c>
      <c r="E20" s="23">
        <v>8.9700000000000002E-2</v>
      </c>
      <c r="F20" s="23">
        <v>0.67210000000000003</v>
      </c>
      <c r="G20" s="23">
        <v>0.67530000000000001</v>
      </c>
      <c r="H20" s="23">
        <v>1.5845</v>
      </c>
      <c r="I20" s="24">
        <v>0.1434</v>
      </c>
    </row>
    <row r="21" spans="1:13" ht="14.4" customHeight="1" x14ac:dyDescent="0.3">
      <c r="A21" s="28"/>
      <c r="B21" s="29"/>
      <c r="C21" s="29"/>
      <c r="D21" s="29"/>
      <c r="E21" s="29"/>
      <c r="F21" s="29"/>
      <c r="G21" s="29"/>
      <c r="H21" s="29"/>
      <c r="I21" s="30"/>
      <c r="J21" s="8"/>
      <c r="K21" s="8"/>
      <c r="L21" s="8"/>
      <c r="M21" s="8"/>
    </row>
    <row r="22" spans="1:13" ht="22.2" customHeight="1" x14ac:dyDescent="0.3">
      <c r="A22" s="31"/>
      <c r="B22" s="32"/>
      <c r="C22" s="32" t="s">
        <v>14</v>
      </c>
      <c r="D22" s="32"/>
      <c r="E22" s="32"/>
      <c r="F22" s="14">
        <f>(F19/B19) -1</f>
        <v>6.3348416289592535E-2</v>
      </c>
      <c r="G22" s="14">
        <f t="shared" ref="F22:I23" si="1">(G19/C19) -1</f>
        <v>6.0197663971248927E-2</v>
      </c>
      <c r="H22" s="14">
        <f t="shared" si="1"/>
        <v>5.3614947197400564E-2</v>
      </c>
      <c r="I22" s="15">
        <f t="shared" si="1"/>
        <v>0.27664233576642316</v>
      </c>
    </row>
    <row r="23" spans="1:13" x14ac:dyDescent="0.3">
      <c r="A23" s="33"/>
      <c r="B23" s="34"/>
      <c r="C23" s="34" t="s">
        <v>13</v>
      </c>
      <c r="D23" s="35"/>
      <c r="E23" s="35"/>
      <c r="F23" s="10">
        <f t="shared" si="1"/>
        <v>0.11496350364963503</v>
      </c>
      <c r="G23" s="10">
        <f t="shared" si="1"/>
        <v>0.11767626613704074</v>
      </c>
      <c r="H23" s="10">
        <f t="shared" si="1"/>
        <v>0.17144758243383107</v>
      </c>
      <c r="I23" s="11">
        <f>(I20/E20) -1</f>
        <v>0.59866220735785958</v>
      </c>
    </row>
    <row r="24" spans="1:13" x14ac:dyDescent="0.3">
      <c r="A24" s="21" t="s">
        <v>12</v>
      </c>
      <c r="B24" s="21"/>
      <c r="C24" s="21"/>
      <c r="D24" s="21"/>
      <c r="E24" s="21"/>
      <c r="F24" s="21"/>
      <c r="G24" s="21"/>
      <c r="H24" s="21"/>
      <c r="I24" s="21"/>
    </row>
    <row r="25" spans="1:13" x14ac:dyDescent="0.3">
      <c r="A25" s="2"/>
      <c r="B25" s="17" t="s">
        <v>1</v>
      </c>
      <c r="C25" s="17"/>
      <c r="D25" s="17"/>
      <c r="E25" s="17"/>
      <c r="F25" s="17" t="s">
        <v>2</v>
      </c>
      <c r="G25" s="17"/>
      <c r="H25" s="17"/>
      <c r="I25" s="18"/>
    </row>
    <row r="26" spans="1:13" x14ac:dyDescent="0.3">
      <c r="A26" s="5" t="s">
        <v>0</v>
      </c>
      <c r="B26" s="6" t="s">
        <v>3</v>
      </c>
      <c r="C26" s="6" t="s">
        <v>4</v>
      </c>
      <c r="D26" s="6" t="s">
        <v>5</v>
      </c>
      <c r="E26" s="6" t="s">
        <v>6</v>
      </c>
      <c r="F26" s="6" t="s">
        <v>3</v>
      </c>
      <c r="G26" s="6" t="s">
        <v>4</v>
      </c>
      <c r="H26" s="6" t="s">
        <v>5</v>
      </c>
      <c r="I26" s="7" t="s">
        <v>6</v>
      </c>
    </row>
    <row r="27" spans="1:13" x14ac:dyDescent="0.3">
      <c r="A27" s="2">
        <v>831712</v>
      </c>
      <c r="B27" s="3">
        <v>0.61099999999999999</v>
      </c>
      <c r="C27" s="3">
        <v>0.61399999999999999</v>
      </c>
      <c r="D27" s="3">
        <v>1.27</v>
      </c>
      <c r="E27" s="3">
        <v>0.1</v>
      </c>
      <c r="F27" s="3">
        <v>0.41099999999999998</v>
      </c>
      <c r="G27" s="3">
        <v>0.41</v>
      </c>
      <c r="H27" s="3">
        <v>0.61899999999999999</v>
      </c>
      <c r="I27" s="4">
        <v>-4.9000000000000002E-2</v>
      </c>
    </row>
    <row r="28" spans="1:13" x14ac:dyDescent="0.3">
      <c r="A28" s="5">
        <v>977951</v>
      </c>
      <c r="B28" s="6">
        <v>0.56299999999999994</v>
      </c>
      <c r="C28" s="6">
        <v>0.56999999999999995</v>
      </c>
      <c r="D28" s="6">
        <v>0.90500000000000003</v>
      </c>
      <c r="E28" s="6">
        <v>9.9000000000000005E-2</v>
      </c>
      <c r="F28" s="6">
        <v>0.58799999999999997</v>
      </c>
      <c r="G28" s="6">
        <v>0.59</v>
      </c>
      <c r="H28" s="6">
        <v>1.2270000000000001</v>
      </c>
      <c r="I28" s="7">
        <v>0.06</v>
      </c>
    </row>
    <row r="29" spans="1:13" x14ac:dyDescent="0.3">
      <c r="A29" s="2">
        <v>594033</v>
      </c>
      <c r="B29" s="3">
        <v>0.55200000000000005</v>
      </c>
      <c r="C29" s="3">
        <v>0.56000000000000005</v>
      </c>
      <c r="D29" s="3">
        <v>0.89300000000000002</v>
      </c>
      <c r="E29" s="3">
        <v>6.5000000000000002E-2</v>
      </c>
      <c r="F29" s="3">
        <v>0.63800000000000001</v>
      </c>
      <c r="G29" s="3">
        <v>0.63400000000000001</v>
      </c>
      <c r="H29" s="3">
        <v>1.51</v>
      </c>
      <c r="I29" s="4">
        <v>9.8000000000000004E-2</v>
      </c>
    </row>
    <row r="30" spans="1:13" x14ac:dyDescent="0.3">
      <c r="A30" s="5">
        <v>199980</v>
      </c>
      <c r="B30" s="6">
        <v>0.54300000000000004</v>
      </c>
      <c r="C30" s="6">
        <v>0.54100000000000004</v>
      </c>
      <c r="D30" s="6">
        <v>0.73699999999999999</v>
      </c>
      <c r="E30" s="6">
        <v>4.3999999999999997E-2</v>
      </c>
      <c r="F30" s="6">
        <v>0.6</v>
      </c>
      <c r="G30" s="6">
        <v>0.60099999999999998</v>
      </c>
      <c r="H30" s="6">
        <v>1.3049999999999999</v>
      </c>
      <c r="I30" s="7">
        <v>0.11</v>
      </c>
    </row>
    <row r="31" spans="1:13" x14ac:dyDescent="0.3">
      <c r="A31" s="2">
        <v>1</v>
      </c>
      <c r="B31" s="3">
        <v>0.52400000000000002</v>
      </c>
      <c r="C31" s="3">
        <v>0.52</v>
      </c>
      <c r="D31" s="3">
        <v>1.19</v>
      </c>
      <c r="E31" s="3">
        <v>2.3E-2</v>
      </c>
      <c r="F31" s="3">
        <v>0.65500000000000003</v>
      </c>
      <c r="G31" s="3">
        <v>0.65300000000000002</v>
      </c>
      <c r="H31" s="3">
        <v>1.5289999999999999</v>
      </c>
      <c r="I31" s="4">
        <v>7.0000000000000007E-2</v>
      </c>
    </row>
    <row r="32" spans="1:13" x14ac:dyDescent="0.3">
      <c r="A32" s="5">
        <v>141726</v>
      </c>
      <c r="B32" s="6">
        <v>0.52100000000000002</v>
      </c>
      <c r="C32" s="6">
        <v>0.52800000000000002</v>
      </c>
      <c r="D32" s="6">
        <v>0.77200000000000002</v>
      </c>
      <c r="E32" s="6">
        <v>2.1999999999999999E-2</v>
      </c>
      <c r="F32" s="6">
        <v>0.48699999999999999</v>
      </c>
      <c r="G32" s="6">
        <v>0.48599999999999999</v>
      </c>
      <c r="H32" s="6">
        <v>0.89900000000000002</v>
      </c>
      <c r="I32" s="7">
        <v>-1.9E-2</v>
      </c>
    </row>
    <row r="33" spans="1:9" x14ac:dyDescent="0.3">
      <c r="A33" s="2">
        <v>938053</v>
      </c>
      <c r="B33" s="3">
        <v>0.51900000000000002</v>
      </c>
      <c r="C33" s="3">
        <v>0.52600000000000002</v>
      </c>
      <c r="D33" s="3">
        <v>0.64700000000000002</v>
      </c>
      <c r="E33" s="3">
        <v>4.5400000000000003E-2</v>
      </c>
      <c r="F33" s="3">
        <v>0.60499999999999998</v>
      </c>
      <c r="G33" s="3">
        <v>0.60399999999999998</v>
      </c>
      <c r="H33" s="3">
        <v>1.1499999999999999</v>
      </c>
      <c r="I33" s="4">
        <v>-2E-3</v>
      </c>
    </row>
    <row r="34" spans="1:9" x14ac:dyDescent="0.3">
      <c r="A34" s="5">
        <v>983617</v>
      </c>
      <c r="B34" s="6">
        <v>0.51200000000000001</v>
      </c>
      <c r="C34" s="6">
        <v>0.51900000000000002</v>
      </c>
      <c r="D34" s="6">
        <v>0.68400000000000005</v>
      </c>
      <c r="E34" s="6">
        <v>5.0000000000000001E-3</v>
      </c>
      <c r="F34" s="6">
        <v>0.58499999999999996</v>
      </c>
      <c r="G34" s="6">
        <v>0.58799999999999997</v>
      </c>
      <c r="H34" s="6">
        <v>1.18</v>
      </c>
      <c r="I34" s="7">
        <v>0.04</v>
      </c>
    </row>
    <row r="35" spans="1:9" x14ac:dyDescent="0.3">
      <c r="A35" s="2">
        <v>869843</v>
      </c>
      <c r="B35" s="3">
        <v>0.48399999999999999</v>
      </c>
      <c r="C35" s="3">
        <v>0.49199999999999999</v>
      </c>
      <c r="D35" s="3">
        <v>0.68</v>
      </c>
      <c r="E35" s="3">
        <v>-0.04</v>
      </c>
      <c r="F35" s="3">
        <v>0.57499999999999996</v>
      </c>
      <c r="G35" s="3">
        <v>0.57699999999999996</v>
      </c>
      <c r="H35" s="3">
        <v>1.42</v>
      </c>
      <c r="I35" s="4">
        <v>0.1</v>
      </c>
    </row>
    <row r="36" spans="1:9" x14ac:dyDescent="0.3">
      <c r="A36" s="5">
        <v>117230</v>
      </c>
      <c r="B36" s="6">
        <v>0.47499999999999998</v>
      </c>
      <c r="C36" s="6">
        <v>0.47199999999999998</v>
      </c>
      <c r="D36" s="6">
        <v>0.83199999999999996</v>
      </c>
      <c r="E36" s="6">
        <v>-0.05</v>
      </c>
      <c r="F36" s="6">
        <v>0.503</v>
      </c>
      <c r="G36" s="6">
        <v>0.503</v>
      </c>
      <c r="H36" s="6">
        <v>0.66100000000000003</v>
      </c>
      <c r="I36" s="7">
        <v>-2.1000000000000001E-2</v>
      </c>
    </row>
    <row r="37" spans="1:9" x14ac:dyDescent="0.3">
      <c r="A37" s="2"/>
      <c r="B37" s="3"/>
      <c r="C37" s="3"/>
      <c r="D37" s="3"/>
      <c r="E37" s="3"/>
      <c r="F37" s="3"/>
      <c r="G37" s="3"/>
      <c r="H37" s="3"/>
      <c r="I37" s="4"/>
    </row>
    <row r="38" spans="1:9" x14ac:dyDescent="0.3">
      <c r="A38" s="1" t="s">
        <v>7</v>
      </c>
      <c r="B38" s="1">
        <f t="shared" ref="B38:E38" si="2">MEDIAN(B27:B36)</f>
        <v>0.52249999999999996</v>
      </c>
      <c r="C38" s="1">
        <f t="shared" si="2"/>
        <v>0.52700000000000002</v>
      </c>
      <c r="D38" s="1">
        <f t="shared" si="2"/>
        <v>0.80200000000000005</v>
      </c>
      <c r="E38" s="1">
        <f t="shared" si="2"/>
        <v>3.3500000000000002E-2</v>
      </c>
      <c r="F38" s="1">
        <f>MEDIAN(F27:F36)</f>
        <v>0.58650000000000002</v>
      </c>
      <c r="G38" s="1">
        <f t="shared" ref="G38:I38" si="3">MEDIAN(G27:G36)</f>
        <v>0.58899999999999997</v>
      </c>
      <c r="H38" s="1">
        <f t="shared" si="3"/>
        <v>1.2035</v>
      </c>
      <c r="I38" s="1">
        <f t="shared" si="3"/>
        <v>0.05</v>
      </c>
    </row>
    <row r="39" spans="1:9" x14ac:dyDescent="0.3">
      <c r="A39" s="2"/>
      <c r="B39" s="3"/>
      <c r="C39" s="3"/>
      <c r="D39" s="3"/>
      <c r="E39" s="3"/>
      <c r="F39" s="3"/>
      <c r="G39" s="3"/>
      <c r="H39" s="3"/>
      <c r="I39" s="4"/>
    </row>
    <row r="40" spans="1:9" x14ac:dyDescent="0.3">
      <c r="A40" s="5"/>
      <c r="B40" s="6"/>
      <c r="C40" s="6"/>
      <c r="D40" s="6"/>
      <c r="E40" s="9" t="s">
        <v>8</v>
      </c>
      <c r="F40" s="10">
        <f>(F38/B38) -1</f>
        <v>0.12248803827751198</v>
      </c>
      <c r="G40" s="10">
        <f>(G38/C38) -1</f>
        <v>0.11764705882352922</v>
      </c>
      <c r="H40" s="10">
        <f>(H38/D38) -1</f>
        <v>0.50062344139650872</v>
      </c>
      <c r="I40" s="11">
        <f>(I38/E38) -1</f>
        <v>0.49253731343283591</v>
      </c>
    </row>
    <row r="42" spans="1:9" x14ac:dyDescent="0.3">
      <c r="A42" s="1" t="s">
        <v>10</v>
      </c>
    </row>
    <row r="43" spans="1:9" x14ac:dyDescent="0.3">
      <c r="A43" s="2"/>
      <c r="B43" s="12" t="s">
        <v>1</v>
      </c>
      <c r="C43" s="12"/>
      <c r="D43" s="12"/>
      <c r="E43" s="12"/>
      <c r="F43" s="12" t="s">
        <v>2</v>
      </c>
      <c r="G43" s="12"/>
      <c r="H43" s="12"/>
      <c r="I43" s="13"/>
    </row>
    <row r="44" spans="1:9" x14ac:dyDescent="0.3">
      <c r="A44" s="5" t="s">
        <v>0</v>
      </c>
      <c r="B44" s="6" t="s">
        <v>3</v>
      </c>
      <c r="C44" s="6" t="s">
        <v>4</v>
      </c>
      <c r="D44" s="6" t="s">
        <v>5</v>
      </c>
      <c r="E44" s="6" t="s">
        <v>6</v>
      </c>
      <c r="F44" s="6" t="s">
        <v>3</v>
      </c>
      <c r="G44" s="6" t="s">
        <v>4</v>
      </c>
      <c r="H44" s="6" t="s">
        <v>5</v>
      </c>
      <c r="I44" s="7" t="s">
        <v>6</v>
      </c>
    </row>
    <row r="45" spans="1:9" x14ac:dyDescent="0.3">
      <c r="A45" s="2">
        <v>831712</v>
      </c>
      <c r="B45" s="3">
        <v>0.61099999999999999</v>
      </c>
      <c r="C45" s="3">
        <v>0.61399999999999999</v>
      </c>
      <c r="D45" s="3">
        <v>1.27</v>
      </c>
      <c r="E45" s="3">
        <v>0.1</v>
      </c>
      <c r="F45" s="3">
        <v>0.41099999999999998</v>
      </c>
      <c r="G45" s="3">
        <v>0.41</v>
      </c>
      <c r="H45" s="3">
        <v>0.61899999999999999</v>
      </c>
      <c r="I45" s="4">
        <v>-4.9000000000000002E-2</v>
      </c>
    </row>
    <row r="46" spans="1:9" x14ac:dyDescent="0.3">
      <c r="A46" s="5">
        <v>977951</v>
      </c>
      <c r="B46" s="6">
        <v>0.56299999999999994</v>
      </c>
      <c r="C46" s="6">
        <v>0.56999999999999995</v>
      </c>
      <c r="D46" s="6">
        <v>0.90500000000000003</v>
      </c>
      <c r="E46" s="6">
        <v>9.9000000000000005E-2</v>
      </c>
      <c r="F46" s="6">
        <v>0.58799999999999997</v>
      </c>
      <c r="G46" s="6">
        <v>0.59</v>
      </c>
      <c r="H46" s="6">
        <v>1.2270000000000001</v>
      </c>
      <c r="I46" s="7">
        <v>0.06</v>
      </c>
    </row>
    <row r="47" spans="1:9" x14ac:dyDescent="0.3">
      <c r="A47" s="2">
        <v>594033</v>
      </c>
      <c r="B47" s="3">
        <v>0.55200000000000005</v>
      </c>
      <c r="C47" s="3">
        <v>0.56000000000000005</v>
      </c>
      <c r="D47" s="3">
        <v>0.89300000000000002</v>
      </c>
      <c r="E47" s="3">
        <v>6.5000000000000002E-2</v>
      </c>
      <c r="F47" s="3">
        <v>0.63800000000000001</v>
      </c>
      <c r="G47" s="3">
        <v>0.63400000000000001</v>
      </c>
      <c r="H47" s="3">
        <v>1.51</v>
      </c>
      <c r="I47" s="4">
        <v>9.8000000000000004E-2</v>
      </c>
    </row>
    <row r="48" spans="1:9" x14ac:dyDescent="0.3">
      <c r="A48" s="5">
        <v>199980</v>
      </c>
      <c r="B48" s="6">
        <v>0.54300000000000004</v>
      </c>
      <c r="C48" s="6">
        <v>0.54100000000000004</v>
      </c>
      <c r="D48" s="6">
        <v>0.73699999999999999</v>
      </c>
      <c r="E48" s="6">
        <v>4.3999999999999997E-2</v>
      </c>
      <c r="F48" s="6">
        <v>0.6</v>
      </c>
      <c r="G48" s="6">
        <v>0.60099999999999998</v>
      </c>
      <c r="H48" s="6">
        <v>1.3049999999999999</v>
      </c>
      <c r="I48" s="7">
        <v>0.11</v>
      </c>
    </row>
    <row r="49" spans="1:9" x14ac:dyDescent="0.3">
      <c r="A49" s="2">
        <v>1</v>
      </c>
      <c r="B49" s="3">
        <v>0.52400000000000002</v>
      </c>
      <c r="C49" s="3">
        <v>0.52</v>
      </c>
      <c r="D49" s="3">
        <v>1.19</v>
      </c>
      <c r="E49" s="3">
        <v>2.3E-2</v>
      </c>
      <c r="F49" s="3">
        <v>0.65500000000000003</v>
      </c>
      <c r="G49" s="3">
        <v>0.65300000000000002</v>
      </c>
      <c r="H49" s="3">
        <v>1.5289999999999999</v>
      </c>
      <c r="I49" s="4">
        <v>7.0000000000000007E-2</v>
      </c>
    </row>
    <row r="50" spans="1:9" x14ac:dyDescent="0.3">
      <c r="A50" s="5">
        <v>141726</v>
      </c>
      <c r="B50" s="6">
        <v>0.52100000000000002</v>
      </c>
      <c r="C50" s="6">
        <v>0.52800000000000002</v>
      </c>
      <c r="D50" s="6">
        <v>0.77200000000000002</v>
      </c>
      <c r="E50" s="6">
        <v>2.1999999999999999E-2</v>
      </c>
      <c r="F50" s="6">
        <v>0.48699999999999999</v>
      </c>
      <c r="G50" s="6">
        <v>0.48599999999999999</v>
      </c>
      <c r="H50" s="6">
        <v>0.89900000000000002</v>
      </c>
      <c r="I50" s="7">
        <v>-1.9E-2</v>
      </c>
    </row>
    <row r="51" spans="1:9" x14ac:dyDescent="0.3">
      <c r="A51" s="2">
        <v>938053</v>
      </c>
      <c r="B51" s="3">
        <v>0.51900000000000002</v>
      </c>
      <c r="C51" s="3">
        <v>0.52600000000000002</v>
      </c>
      <c r="D51" s="3">
        <v>0.64700000000000002</v>
      </c>
      <c r="E51" s="3">
        <v>4.5400000000000003E-2</v>
      </c>
      <c r="F51" s="3">
        <v>0.60499999999999998</v>
      </c>
      <c r="G51" s="3">
        <v>0.60399999999999998</v>
      </c>
      <c r="H51" s="3">
        <v>1.1499999999999999</v>
      </c>
      <c r="I51" s="4">
        <v>-2E-3</v>
      </c>
    </row>
    <row r="52" spans="1:9" x14ac:dyDescent="0.3">
      <c r="A52" s="5">
        <v>983617</v>
      </c>
      <c r="B52" s="6">
        <v>0.51200000000000001</v>
      </c>
      <c r="C52" s="6">
        <v>0.51900000000000002</v>
      </c>
      <c r="D52" s="6">
        <v>0.68400000000000005</v>
      </c>
      <c r="E52" s="6">
        <v>5.0000000000000001E-3</v>
      </c>
      <c r="F52" s="6">
        <v>0.58499999999999996</v>
      </c>
      <c r="G52" s="6">
        <v>0.58799999999999997</v>
      </c>
      <c r="H52" s="6">
        <v>1.18</v>
      </c>
      <c r="I52" s="7">
        <v>0.04</v>
      </c>
    </row>
    <row r="53" spans="1:9" x14ac:dyDescent="0.3">
      <c r="A53" s="2">
        <v>869843</v>
      </c>
      <c r="B53" s="3">
        <v>0.48399999999999999</v>
      </c>
      <c r="C53" s="3">
        <v>0.49199999999999999</v>
      </c>
      <c r="D53" s="3">
        <v>0.68</v>
      </c>
      <c r="E53" s="3">
        <v>-0.04</v>
      </c>
      <c r="F53" s="3">
        <v>0.57499999999999996</v>
      </c>
      <c r="G53" s="3">
        <v>0.57699999999999996</v>
      </c>
      <c r="H53" s="3">
        <v>1.42</v>
      </c>
      <c r="I53" s="4">
        <v>0.1</v>
      </c>
    </row>
    <row r="54" spans="1:9" x14ac:dyDescent="0.3">
      <c r="A54" s="5">
        <v>117230</v>
      </c>
      <c r="B54" s="6">
        <v>0.47499999999999998</v>
      </c>
      <c r="C54" s="6">
        <v>0.47199999999999998</v>
      </c>
      <c r="D54" s="6">
        <v>0.83199999999999996</v>
      </c>
      <c r="E54" s="6">
        <v>-0.05</v>
      </c>
      <c r="F54" s="6">
        <v>0.503</v>
      </c>
      <c r="G54" s="6">
        <v>0.503</v>
      </c>
      <c r="H54" s="6">
        <v>0.66100000000000003</v>
      </c>
      <c r="I54" s="7">
        <v>-2.1000000000000001E-2</v>
      </c>
    </row>
    <row r="55" spans="1:9" x14ac:dyDescent="0.3">
      <c r="A55" s="2"/>
      <c r="B55" s="3"/>
      <c r="C55" s="3"/>
      <c r="D55" s="3"/>
      <c r="E55" s="3"/>
      <c r="F55" s="3"/>
      <c r="G55" s="3"/>
      <c r="H55" s="3"/>
      <c r="I55" s="4"/>
    </row>
    <row r="56" spans="1:9" x14ac:dyDescent="0.3">
      <c r="A56" s="1" t="s">
        <v>7</v>
      </c>
      <c r="B56" s="1">
        <f t="shared" ref="B56:E56" si="4">MEDIAN(B45:B54)</f>
        <v>0.52249999999999996</v>
      </c>
      <c r="C56" s="1">
        <f t="shared" si="4"/>
        <v>0.52700000000000002</v>
      </c>
      <c r="D56" s="1">
        <f t="shared" si="4"/>
        <v>0.80200000000000005</v>
      </c>
      <c r="E56" s="1">
        <f t="shared" si="4"/>
        <v>3.3500000000000002E-2</v>
      </c>
      <c r="F56" s="1">
        <f>MEDIAN(F45:F54)</f>
        <v>0.58650000000000002</v>
      </c>
      <c r="G56" s="1">
        <f t="shared" ref="G56:I56" si="5">MEDIAN(G45:G54)</f>
        <v>0.58899999999999997</v>
      </c>
      <c r="H56" s="1">
        <f t="shared" si="5"/>
        <v>1.2035</v>
      </c>
      <c r="I56" s="1">
        <f t="shared" si="5"/>
        <v>0.05</v>
      </c>
    </row>
    <row r="57" spans="1:9" x14ac:dyDescent="0.3">
      <c r="A57" s="2"/>
      <c r="B57" s="3"/>
      <c r="C57" s="3"/>
      <c r="D57" s="3"/>
      <c r="E57" s="3"/>
      <c r="F57" s="3"/>
      <c r="G57" s="3"/>
      <c r="H57" s="3"/>
      <c r="I57" s="4"/>
    </row>
    <row r="58" spans="1:9" x14ac:dyDescent="0.3">
      <c r="A58" s="5"/>
      <c r="B58" s="6"/>
      <c r="C58" s="6"/>
      <c r="D58" s="6"/>
      <c r="E58" s="9" t="s">
        <v>8</v>
      </c>
      <c r="F58" s="10">
        <f>(F56/B56) -1</f>
        <v>0.12248803827751198</v>
      </c>
      <c r="G58" s="10">
        <f>(G56/C56) -1</f>
        <v>0.11764705882352922</v>
      </c>
      <c r="H58" s="10">
        <f>(H56/D56) -1</f>
        <v>0.50062344139650872</v>
      </c>
      <c r="I58" s="11">
        <f>(I56/E56) -1</f>
        <v>0.49253731343283591</v>
      </c>
    </row>
  </sheetData>
  <sortState xmlns:xlrd2="http://schemas.microsoft.com/office/spreadsheetml/2017/richdata2" ref="A8:I17">
    <sortCondition descending="1" ref="B8:B17"/>
  </sortState>
  <mergeCells count="7">
    <mergeCell ref="A3:I3"/>
    <mergeCell ref="B25:E25"/>
    <mergeCell ref="F25:I25"/>
    <mergeCell ref="J4:M4"/>
    <mergeCell ref="A24:I24"/>
    <mergeCell ref="F6:I6"/>
    <mergeCell ref="B6:E6"/>
  </mergeCells>
  <phoneticPr fontId="2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A33CCC69E92AB46864A1F3426B1DDEC" ma:contentTypeVersion="1" ma:contentTypeDescription="Create a new document." ma:contentTypeScope="" ma:versionID="50c4205b6e63f5e4cfbb2c077ab6dcc8">
  <xsd:schema xmlns:xsd="http://www.w3.org/2001/XMLSchema" xmlns:xs="http://www.w3.org/2001/XMLSchema" xmlns:p="http://schemas.microsoft.com/office/2006/metadata/properties" xmlns:ns3="c5fb894c-6f5b-4d2c-9163-044c6a8d9d16" targetNamespace="http://schemas.microsoft.com/office/2006/metadata/properties" ma:root="true" ma:fieldsID="cbde8c1f22419b8434941b85a59411dd" ns3:_="">
    <xsd:import namespace="c5fb894c-6f5b-4d2c-9163-044c6a8d9d16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5fb894c-6f5b-4d2c-9163-044c6a8d9d16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029E6B3E-9D6C-488A-96F5-5B8BFCC32D7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E5CA3DA-FA68-4BF3-9518-045555A527A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5fb894c-6f5b-4d2c-9163-044c6a8d9d1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8678380-D423-490C-968A-53CEDDCD60D8}">
  <ds:schemaRefs>
    <ds:schemaRef ds:uri="http://schemas.microsoft.com/office/2006/metadata/properties"/>
    <ds:schemaRef ds:uri="http://schemas.microsoft.com/office/2006/documentManagement/types"/>
    <ds:schemaRef ds:uri="http://purl.org/dc/terms/"/>
    <ds:schemaRef ds:uri="http://purl.org/dc/dcmitype/"/>
    <ds:schemaRef ds:uri="http://www.w3.org/XML/1998/namespace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c5fb894c-6f5b-4d2c-9163-044c6a8d9d1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 Ngoc Minh Duc</dc:creator>
  <cp:lastModifiedBy>Vu Ngoc Minh Duc</cp:lastModifiedBy>
  <dcterms:created xsi:type="dcterms:W3CDTF">2025-12-09T11:39:40Z</dcterms:created>
  <dcterms:modified xsi:type="dcterms:W3CDTF">2025-12-21T15:36:21Z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0x0101000A33CCC69E92AB46864A1F3426B1DDEC</vt:lpwstr>
  </property>
</Properties>
</file>